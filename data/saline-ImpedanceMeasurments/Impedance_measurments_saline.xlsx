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mpert.frederik/Documents/Mayo/CorTec/data/other_recordings/Impedance_test_Oct2026/saline/"/>
    </mc:Choice>
  </mc:AlternateContent>
  <xr:revisionPtr revIDLastSave="0" documentId="13_ncr:1_{3BD16328-5764-D24A-9E41-CB4ACC57323E}" xr6:coauthVersionLast="47" xr6:coauthVersionMax="47" xr10:uidLastSave="{00000000-0000-0000-0000-000000000000}"/>
  <bookViews>
    <workbookView xWindow="3500" yWindow="2300" windowWidth="28040" windowHeight="17180" xr2:uid="{53ABAB88-CE5C-9749-8112-0B0C55B68B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4" i="1" l="1"/>
  <c r="I24" i="1"/>
  <c r="J24" i="1"/>
  <c r="K24" i="1"/>
  <c r="O24" i="1"/>
  <c r="C23" i="1"/>
  <c r="C24" i="1" s="1"/>
  <c r="D23" i="1"/>
  <c r="D24" i="1" s="1"/>
  <c r="E23" i="1"/>
  <c r="E24" i="1" s="1"/>
  <c r="F23" i="1"/>
  <c r="F24" i="1" s="1"/>
  <c r="G23" i="1"/>
  <c r="G24" i="1" s="1"/>
  <c r="H23" i="1"/>
  <c r="I23" i="1"/>
  <c r="J23" i="1"/>
  <c r="K23" i="1"/>
  <c r="L23" i="1"/>
  <c r="L24" i="1" s="1"/>
  <c r="M23" i="1"/>
  <c r="M24" i="1" s="1"/>
  <c r="N23" i="1"/>
  <c r="N24" i="1" s="1"/>
  <c r="O23" i="1"/>
  <c r="B23" i="1"/>
  <c r="B24" i="1" s="1"/>
  <c r="O1" i="1"/>
  <c r="N1" i="1"/>
  <c r="M1" i="1"/>
  <c r="L1" i="1"/>
  <c r="K1" i="1"/>
  <c r="J1" i="1"/>
  <c r="I1" i="1"/>
  <c r="H1" i="1"/>
  <c r="G1" i="1"/>
  <c r="F1" i="1"/>
  <c r="E1" i="1"/>
  <c r="D1" i="1"/>
  <c r="C1" i="1"/>
</calcChain>
</file>

<file path=xl/sharedStrings.xml><?xml version="1.0" encoding="utf-8"?>
<sst xmlns="http://schemas.openxmlformats.org/spreadsheetml/2006/main" count="41" uniqueCount="21">
  <si>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</si>
  <si>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</si>
  <si>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</si>
  <si>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</si>
  <si>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</si>
  <si>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</si>
  <si>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</si>
  <si>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</si>
  <si>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</si>
  <si>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</si>
  <si>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</si>
  <si>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</si>
  <si>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Measurement</t>
  </si>
  <si>
    <t>C13</t>
  </si>
  <si>
    <t>C14</t>
  </si>
  <si>
    <t>C15</t>
  </si>
  <si>
    <t>Inf</t>
  </si>
  <si>
    <t>Mean</t>
  </si>
  <si>
    <t>STD</t>
  </si>
  <si>
    <t>Concentration (%NaCl)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</si>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</sst>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67" fontId="0" fillId="0" borderId="0" xfId="0" applyNumberForma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908B-77D1-0043-AE00-02E763B5B9B0}">
  <dimension ref="A1:S24"/>
  <sheetViews>
    <sheetView tabSelected="1" workbookViewId="0">
      <selection activeCell="I32" sqref="I32"/>
    </sheetView>
  </sheetViews>
  <sheetFormatPr baseColWidth="10" defaultRowHeight="16" x14ac:dyDescent="0.2"/>
  <cols>
    <col min="1" max="1" width="20.5" bestFit="1" customWidth="1"/>
    <col min="13" max="13" width="13" bestFit="1" customWidth="1"/>
  </cols>
  <sheetData>
    <row r="1" spans="1:19" x14ac:dyDescent="0.2">
      <c r="A1" s="2" t="s">
        <v>19</v>
      </c>
      <c r="B1" s="4">
        <v>0.9</v>
      </c>
      <c r="C1" s="4">
        <f>B1*(0.6)^1</f>
        <v>0.54</v>
      </c>
      <c r="D1" s="4">
        <f>B1*(0.6)^2</f>
        <v>0.32400000000000001</v>
      </c>
      <c r="E1" s="4">
        <f>B1*(0.6)^3</f>
        <v>0.19439999999999999</v>
      </c>
      <c r="F1" s="4">
        <f>B1*(0.6)^4</f>
        <v>0.11663999999999999</v>
      </c>
      <c r="G1" s="4">
        <f>B1*(0.6)^5</f>
        <v>6.9984000000000005E-2</v>
      </c>
      <c r="H1" s="4">
        <f>B1*(0.6)^6</f>
        <v>4.1990399999999997E-2</v>
      </c>
      <c r="I1" s="4">
        <f>B1*(0.6)^7</f>
        <v>2.5194239999999996E-2</v>
      </c>
      <c r="J1" s="4">
        <f>B1*(0.6)^8</f>
        <v>1.5116543999999997E-2</v>
      </c>
      <c r="K1" s="4">
        <f>B1*(0.6)^9</f>
        <v>9.0699263999999991E-3</v>
      </c>
      <c r="L1" s="4">
        <f>B1*(0.6)^10</f>
        <v>5.4419558399999993E-3</v>
      </c>
      <c r="M1" s="4">
        <f>B1*(0.6)^11</f>
        <v>3.2651735039999994E-3</v>
      </c>
      <c r="N1" s="4">
        <f>B1*(0.6)^12</f>
        <v>1.9591041023999996E-3</v>
      </c>
      <c r="O1" s="4">
        <f>B1*(0.6)^13</f>
        <v>1.1754624614399999E-3</v>
      </c>
      <c r="P1" s="4">
        <v>0</v>
      </c>
    </row>
    <row r="2" spans="1:19" ht="17" thickBot="1" x14ac:dyDescent="0.25">
      <c r="A2" s="3" t="s">
        <v>12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13</v>
      </c>
      <c r="O2" s="1" t="s">
        <v>14</v>
      </c>
      <c r="P2" s="1" t="s">
        <v>15</v>
      </c>
    </row>
    <row r="3" spans="1:19" x14ac:dyDescent="0.2">
      <c r="A3" s="2">
        <v>1</v>
      </c>
      <c r="B3">
        <v>168</v>
      </c>
      <c r="C3">
        <v>162</v>
      </c>
      <c r="D3">
        <v>214</v>
      </c>
      <c r="E3">
        <v>233</v>
      </c>
      <c r="F3">
        <v>309</v>
      </c>
      <c r="G3">
        <v>385</v>
      </c>
      <c r="H3">
        <v>595</v>
      </c>
      <c r="I3">
        <v>855</v>
      </c>
      <c r="J3">
        <v>1305</v>
      </c>
      <c r="K3">
        <v>2010</v>
      </c>
      <c r="L3">
        <v>3239</v>
      </c>
      <c r="M3">
        <v>5251</v>
      </c>
      <c r="N3">
        <v>8762</v>
      </c>
      <c r="O3">
        <v>13510</v>
      </c>
      <c r="P3" t="s">
        <v>16</v>
      </c>
    </row>
    <row r="4" spans="1:19" x14ac:dyDescent="0.2">
      <c r="A4" s="2">
        <v>2</v>
      </c>
      <c r="B4">
        <v>143</v>
      </c>
      <c r="C4">
        <v>160</v>
      </c>
      <c r="D4">
        <v>193</v>
      </c>
      <c r="E4">
        <v>221</v>
      </c>
      <c r="F4">
        <v>313</v>
      </c>
      <c r="G4">
        <v>397</v>
      </c>
      <c r="H4">
        <v>551</v>
      </c>
      <c r="I4">
        <v>870</v>
      </c>
      <c r="J4">
        <v>1272</v>
      </c>
      <c r="K4">
        <v>2117</v>
      </c>
      <c r="L4">
        <v>3250</v>
      </c>
      <c r="M4">
        <v>5165</v>
      </c>
      <c r="N4">
        <v>8862</v>
      </c>
      <c r="O4">
        <v>13443</v>
      </c>
      <c r="P4" t="s">
        <v>16</v>
      </c>
    </row>
    <row r="5" spans="1:19" x14ac:dyDescent="0.2">
      <c r="A5" s="2">
        <v>3</v>
      </c>
      <c r="B5">
        <v>189</v>
      </c>
      <c r="C5">
        <v>155</v>
      </c>
      <c r="D5">
        <v>187</v>
      </c>
      <c r="E5">
        <v>233</v>
      </c>
      <c r="F5">
        <v>301</v>
      </c>
      <c r="G5">
        <v>380</v>
      </c>
      <c r="H5">
        <v>549</v>
      </c>
      <c r="I5">
        <v>841</v>
      </c>
      <c r="J5">
        <v>1246</v>
      </c>
      <c r="K5">
        <v>2043</v>
      </c>
      <c r="L5">
        <v>3279</v>
      </c>
      <c r="M5">
        <v>5280</v>
      </c>
      <c r="N5">
        <v>8848</v>
      </c>
      <c r="O5">
        <v>13430</v>
      </c>
      <c r="P5" t="s">
        <v>16</v>
      </c>
    </row>
    <row r="6" spans="1:19" x14ac:dyDescent="0.2">
      <c r="A6" s="2">
        <v>4</v>
      </c>
      <c r="B6">
        <v>176</v>
      </c>
      <c r="C6">
        <v>187</v>
      </c>
      <c r="D6">
        <v>193</v>
      </c>
      <c r="E6">
        <v>210</v>
      </c>
      <c r="F6">
        <v>303</v>
      </c>
      <c r="G6">
        <v>410</v>
      </c>
      <c r="H6">
        <v>568</v>
      </c>
      <c r="I6">
        <v>828</v>
      </c>
      <c r="J6">
        <v>1268</v>
      </c>
      <c r="K6">
        <v>2071</v>
      </c>
      <c r="L6">
        <v>3346</v>
      </c>
      <c r="M6">
        <v>5438</v>
      </c>
      <c r="N6">
        <v>8658</v>
      </c>
      <c r="O6">
        <v>13228</v>
      </c>
      <c r="P6" t="s">
        <v>16</v>
      </c>
    </row>
    <row r="7" spans="1:19" x14ac:dyDescent="0.2">
      <c r="A7" s="2">
        <v>5</v>
      </c>
      <c r="B7">
        <v>135</v>
      </c>
      <c r="C7">
        <v>164</v>
      </c>
      <c r="D7">
        <v>168</v>
      </c>
      <c r="E7">
        <v>240</v>
      </c>
      <c r="F7">
        <v>343</v>
      </c>
      <c r="G7">
        <v>389</v>
      </c>
      <c r="H7">
        <v>578</v>
      </c>
      <c r="I7">
        <v>870</v>
      </c>
      <c r="J7">
        <v>1246</v>
      </c>
      <c r="K7">
        <v>2068</v>
      </c>
      <c r="L7">
        <v>3309</v>
      </c>
      <c r="M7">
        <v>5364</v>
      </c>
      <c r="N7">
        <v>8637</v>
      </c>
      <c r="O7">
        <v>13456</v>
      </c>
      <c r="P7" t="s">
        <v>16</v>
      </c>
    </row>
    <row r="8" spans="1:19" x14ac:dyDescent="0.2">
      <c r="A8" s="2">
        <v>6</v>
      </c>
      <c r="B8">
        <v>139</v>
      </c>
      <c r="C8">
        <v>145</v>
      </c>
      <c r="D8">
        <v>172</v>
      </c>
      <c r="E8">
        <v>244</v>
      </c>
      <c r="F8">
        <v>317</v>
      </c>
      <c r="G8">
        <v>418</v>
      </c>
      <c r="H8">
        <v>544</v>
      </c>
      <c r="I8">
        <v>841</v>
      </c>
      <c r="J8">
        <v>1312</v>
      </c>
      <c r="K8">
        <v>2045</v>
      </c>
      <c r="L8">
        <v>3330</v>
      </c>
      <c r="M8">
        <v>5369</v>
      </c>
      <c r="N8">
        <v>8846</v>
      </c>
      <c r="O8">
        <v>13374</v>
      </c>
      <c r="P8" t="s">
        <v>16</v>
      </c>
      <c r="S8" s="4"/>
    </row>
    <row r="9" spans="1:19" x14ac:dyDescent="0.2">
      <c r="A9" s="2">
        <v>7</v>
      </c>
      <c r="B9">
        <v>145</v>
      </c>
      <c r="C9">
        <v>183</v>
      </c>
      <c r="D9">
        <v>187</v>
      </c>
      <c r="E9">
        <v>238</v>
      </c>
      <c r="F9">
        <v>280</v>
      </c>
      <c r="G9">
        <v>380</v>
      </c>
      <c r="H9">
        <v>557</v>
      </c>
      <c r="I9">
        <v>818</v>
      </c>
      <c r="J9">
        <v>1289</v>
      </c>
      <c r="K9">
        <v>2064</v>
      </c>
      <c r="L9">
        <v>3267</v>
      </c>
      <c r="M9">
        <v>5398</v>
      </c>
      <c r="N9">
        <v>8816</v>
      </c>
      <c r="O9">
        <v>13262</v>
      </c>
      <c r="P9" t="s">
        <v>16</v>
      </c>
      <c r="S9" s="4"/>
    </row>
    <row r="10" spans="1:19" x14ac:dyDescent="0.2">
      <c r="A10" s="2">
        <v>8</v>
      </c>
      <c r="B10">
        <v>174</v>
      </c>
      <c r="C10">
        <v>170</v>
      </c>
      <c r="D10">
        <v>179</v>
      </c>
      <c r="E10">
        <v>229</v>
      </c>
      <c r="F10">
        <v>292</v>
      </c>
      <c r="G10">
        <v>380</v>
      </c>
      <c r="H10">
        <v>614</v>
      </c>
      <c r="I10">
        <v>813</v>
      </c>
      <c r="J10">
        <v>1324</v>
      </c>
      <c r="K10">
        <v>2020</v>
      </c>
      <c r="L10">
        <v>3319</v>
      </c>
      <c r="M10">
        <v>5268</v>
      </c>
      <c r="N10">
        <v>8732</v>
      </c>
      <c r="O10">
        <v>13573</v>
      </c>
      <c r="P10" t="s">
        <v>16</v>
      </c>
      <c r="S10" s="4"/>
    </row>
    <row r="11" spans="1:19" x14ac:dyDescent="0.2">
      <c r="A11" s="2">
        <v>9</v>
      </c>
      <c r="B11">
        <v>143</v>
      </c>
      <c r="C11">
        <v>183</v>
      </c>
      <c r="D11">
        <v>183</v>
      </c>
      <c r="E11">
        <v>233</v>
      </c>
      <c r="F11">
        <v>300</v>
      </c>
      <c r="G11">
        <v>410</v>
      </c>
      <c r="H11">
        <v>546</v>
      </c>
      <c r="I11">
        <v>828</v>
      </c>
      <c r="J11">
        <v>1270</v>
      </c>
      <c r="K11">
        <v>2096</v>
      </c>
      <c r="L11">
        <v>3288</v>
      </c>
      <c r="M11">
        <v>5369</v>
      </c>
      <c r="N11">
        <v>8621</v>
      </c>
      <c r="O11">
        <v>13571</v>
      </c>
      <c r="P11" t="s">
        <v>16</v>
      </c>
      <c r="S11" s="4"/>
    </row>
    <row r="12" spans="1:19" x14ac:dyDescent="0.2">
      <c r="A12" s="2">
        <v>10</v>
      </c>
      <c r="B12">
        <v>156</v>
      </c>
      <c r="C12">
        <v>166</v>
      </c>
      <c r="D12">
        <v>200</v>
      </c>
      <c r="E12">
        <v>235</v>
      </c>
      <c r="F12">
        <v>317</v>
      </c>
      <c r="G12">
        <v>404</v>
      </c>
      <c r="H12">
        <v>574</v>
      </c>
      <c r="I12">
        <v>843</v>
      </c>
      <c r="J12">
        <v>1288</v>
      </c>
      <c r="K12">
        <v>2054</v>
      </c>
      <c r="L12">
        <v>3319</v>
      </c>
      <c r="M12">
        <v>5203</v>
      </c>
      <c r="N12">
        <v>8825</v>
      </c>
      <c r="O12">
        <v>13504</v>
      </c>
      <c r="P12" t="s">
        <v>16</v>
      </c>
      <c r="S12" s="4"/>
    </row>
    <row r="13" spans="1:19" x14ac:dyDescent="0.2">
      <c r="A13" s="2">
        <v>11</v>
      </c>
      <c r="B13">
        <v>174</v>
      </c>
      <c r="C13">
        <v>156</v>
      </c>
      <c r="D13">
        <v>181</v>
      </c>
      <c r="E13">
        <v>223</v>
      </c>
      <c r="F13">
        <v>282</v>
      </c>
      <c r="G13">
        <v>416</v>
      </c>
      <c r="H13">
        <v>568</v>
      </c>
      <c r="I13">
        <v>845</v>
      </c>
      <c r="J13">
        <v>1261</v>
      </c>
      <c r="K13">
        <v>2070</v>
      </c>
      <c r="L13">
        <v>3344</v>
      </c>
      <c r="M13">
        <v>5245</v>
      </c>
      <c r="N13">
        <v>8791</v>
      </c>
      <c r="O13">
        <v>13605</v>
      </c>
      <c r="P13" t="s">
        <v>16</v>
      </c>
      <c r="S13" s="4"/>
    </row>
    <row r="14" spans="1:19" x14ac:dyDescent="0.2">
      <c r="A14" s="2">
        <v>12</v>
      </c>
      <c r="B14">
        <v>141</v>
      </c>
      <c r="C14">
        <v>172</v>
      </c>
      <c r="D14">
        <v>218</v>
      </c>
      <c r="E14">
        <v>216</v>
      </c>
      <c r="F14">
        <v>296</v>
      </c>
      <c r="G14">
        <v>389</v>
      </c>
      <c r="H14">
        <v>549</v>
      </c>
      <c r="I14">
        <v>818</v>
      </c>
      <c r="J14">
        <v>1310</v>
      </c>
      <c r="K14">
        <v>2016</v>
      </c>
      <c r="L14">
        <v>3256</v>
      </c>
      <c r="M14">
        <v>5337</v>
      </c>
      <c r="N14">
        <v>8745</v>
      </c>
      <c r="O14">
        <v>13208</v>
      </c>
      <c r="P14" t="s">
        <v>16</v>
      </c>
      <c r="S14" s="4"/>
    </row>
    <row r="15" spans="1:19" x14ac:dyDescent="0.2">
      <c r="A15" s="2">
        <v>13</v>
      </c>
      <c r="B15">
        <v>156</v>
      </c>
      <c r="C15">
        <v>176</v>
      </c>
      <c r="D15">
        <v>179</v>
      </c>
      <c r="E15">
        <v>244</v>
      </c>
      <c r="F15">
        <v>290</v>
      </c>
      <c r="G15">
        <v>401</v>
      </c>
      <c r="H15">
        <v>546</v>
      </c>
      <c r="I15">
        <v>847</v>
      </c>
      <c r="J15">
        <v>1255</v>
      </c>
      <c r="K15">
        <v>2047</v>
      </c>
      <c r="L15">
        <v>3231</v>
      </c>
      <c r="M15">
        <v>5278</v>
      </c>
      <c r="N15">
        <v>8629</v>
      </c>
      <c r="O15">
        <v>13617</v>
      </c>
      <c r="P15" t="s">
        <v>16</v>
      </c>
      <c r="S15" s="4"/>
    </row>
    <row r="16" spans="1:19" x14ac:dyDescent="0.2">
      <c r="A16" s="2">
        <v>14</v>
      </c>
      <c r="B16">
        <v>143</v>
      </c>
      <c r="C16">
        <v>166</v>
      </c>
      <c r="D16">
        <v>198</v>
      </c>
      <c r="E16">
        <v>242</v>
      </c>
      <c r="F16">
        <v>313</v>
      </c>
      <c r="G16">
        <v>412</v>
      </c>
      <c r="H16">
        <v>530</v>
      </c>
      <c r="I16">
        <v>799</v>
      </c>
      <c r="J16">
        <v>1240</v>
      </c>
      <c r="K16">
        <v>2062</v>
      </c>
      <c r="L16">
        <v>3302</v>
      </c>
      <c r="M16">
        <v>5371</v>
      </c>
      <c r="N16">
        <v>8608</v>
      </c>
      <c r="O16">
        <v>13437</v>
      </c>
      <c r="P16" t="s">
        <v>16</v>
      </c>
      <c r="S16" s="4"/>
    </row>
    <row r="17" spans="1:19" x14ac:dyDescent="0.2">
      <c r="A17" s="2">
        <v>15</v>
      </c>
      <c r="B17">
        <v>151</v>
      </c>
      <c r="C17">
        <v>168</v>
      </c>
      <c r="D17">
        <v>193</v>
      </c>
      <c r="E17">
        <v>227</v>
      </c>
      <c r="F17">
        <v>300</v>
      </c>
      <c r="G17">
        <v>387</v>
      </c>
      <c r="H17">
        <v>532</v>
      </c>
      <c r="I17">
        <v>855</v>
      </c>
      <c r="J17">
        <v>1284</v>
      </c>
      <c r="K17">
        <v>2022</v>
      </c>
      <c r="L17">
        <v>3281</v>
      </c>
      <c r="M17">
        <v>5419</v>
      </c>
      <c r="N17">
        <v>8772</v>
      </c>
      <c r="O17">
        <v>13517</v>
      </c>
      <c r="P17" t="s">
        <v>16</v>
      </c>
      <c r="S17" s="4"/>
    </row>
    <row r="18" spans="1:19" x14ac:dyDescent="0.2">
      <c r="A18" s="2">
        <v>16</v>
      </c>
      <c r="B18">
        <v>141</v>
      </c>
      <c r="C18">
        <v>149</v>
      </c>
      <c r="D18">
        <v>189</v>
      </c>
      <c r="E18">
        <v>235</v>
      </c>
      <c r="F18">
        <v>288</v>
      </c>
      <c r="G18">
        <v>370</v>
      </c>
      <c r="H18">
        <v>563</v>
      </c>
      <c r="I18">
        <v>860</v>
      </c>
      <c r="J18">
        <v>1238</v>
      </c>
      <c r="K18">
        <v>2031</v>
      </c>
      <c r="L18">
        <v>3258</v>
      </c>
      <c r="M18">
        <v>5365</v>
      </c>
      <c r="N18">
        <v>8610</v>
      </c>
      <c r="O18">
        <v>13624</v>
      </c>
      <c r="P18" t="s">
        <v>16</v>
      </c>
      <c r="S18" s="4"/>
    </row>
    <row r="19" spans="1:19" x14ac:dyDescent="0.2">
      <c r="A19" s="2">
        <v>17</v>
      </c>
      <c r="B19">
        <v>132</v>
      </c>
      <c r="C19">
        <v>164</v>
      </c>
      <c r="D19">
        <v>174</v>
      </c>
      <c r="E19">
        <v>223</v>
      </c>
      <c r="F19">
        <v>313</v>
      </c>
      <c r="G19">
        <v>389</v>
      </c>
      <c r="H19">
        <v>549</v>
      </c>
      <c r="I19">
        <v>822</v>
      </c>
      <c r="J19">
        <v>1280</v>
      </c>
      <c r="K19">
        <v>2049</v>
      </c>
      <c r="L19">
        <v>3256</v>
      </c>
      <c r="M19">
        <v>5415</v>
      </c>
      <c r="N19">
        <v>8749</v>
      </c>
      <c r="O19">
        <v>13447</v>
      </c>
      <c r="P19" t="s">
        <v>16</v>
      </c>
      <c r="S19" s="4"/>
    </row>
    <row r="20" spans="1:19" x14ac:dyDescent="0.2">
      <c r="A20" s="2">
        <v>18</v>
      </c>
      <c r="B20">
        <v>166</v>
      </c>
      <c r="C20">
        <v>160</v>
      </c>
      <c r="D20">
        <v>214</v>
      </c>
      <c r="E20">
        <v>235</v>
      </c>
      <c r="F20">
        <v>290</v>
      </c>
      <c r="G20">
        <v>422</v>
      </c>
      <c r="H20">
        <v>561</v>
      </c>
      <c r="I20">
        <v>843</v>
      </c>
      <c r="J20">
        <v>1297</v>
      </c>
      <c r="K20">
        <v>2104</v>
      </c>
      <c r="L20">
        <v>3397</v>
      </c>
      <c r="M20">
        <v>5272</v>
      </c>
      <c r="N20">
        <v>8751</v>
      </c>
      <c r="O20">
        <v>13483</v>
      </c>
      <c r="P20" t="s">
        <v>16</v>
      </c>
      <c r="S20" s="4"/>
    </row>
    <row r="21" spans="1:19" x14ac:dyDescent="0.2">
      <c r="A21" s="2">
        <v>19</v>
      </c>
      <c r="B21">
        <v>147</v>
      </c>
      <c r="C21">
        <v>206</v>
      </c>
      <c r="D21">
        <v>181</v>
      </c>
      <c r="E21">
        <v>221</v>
      </c>
      <c r="F21">
        <v>321</v>
      </c>
      <c r="G21">
        <v>416</v>
      </c>
      <c r="H21">
        <v>584</v>
      </c>
      <c r="I21">
        <v>799</v>
      </c>
      <c r="J21">
        <v>1312</v>
      </c>
      <c r="K21">
        <v>2009</v>
      </c>
      <c r="L21">
        <v>3298</v>
      </c>
      <c r="M21">
        <v>5282</v>
      </c>
      <c r="N21">
        <v>8801</v>
      </c>
      <c r="O21">
        <v>13371</v>
      </c>
      <c r="P21" t="s">
        <v>16</v>
      </c>
      <c r="S21" s="4"/>
    </row>
    <row r="22" spans="1:19" ht="17" thickBot="1" x14ac:dyDescent="0.25">
      <c r="A22" s="3">
        <v>20</v>
      </c>
      <c r="B22" s="1">
        <v>158</v>
      </c>
      <c r="C22" s="1">
        <v>151</v>
      </c>
      <c r="D22" s="1">
        <v>198</v>
      </c>
      <c r="E22" s="1">
        <v>233</v>
      </c>
      <c r="F22" s="1">
        <v>280</v>
      </c>
      <c r="G22" s="1">
        <v>401</v>
      </c>
      <c r="H22" s="1">
        <v>561</v>
      </c>
      <c r="I22" s="1">
        <v>824</v>
      </c>
      <c r="J22" s="1">
        <v>1263</v>
      </c>
      <c r="K22" s="1">
        <v>2070</v>
      </c>
      <c r="L22" s="1">
        <v>3349</v>
      </c>
      <c r="M22" s="1">
        <v>5175</v>
      </c>
      <c r="N22" s="1">
        <v>8629</v>
      </c>
      <c r="O22" s="1">
        <v>13598</v>
      </c>
      <c r="P22" s="1" t="s">
        <v>16</v>
      </c>
      <c r="S22" s="4"/>
    </row>
    <row r="23" spans="1:19" x14ac:dyDescent="0.2">
      <c r="A23" s="2" t="s">
        <v>17</v>
      </c>
      <c r="B23">
        <f>AVERAGE(B3:B22)</f>
        <v>153.85</v>
      </c>
      <c r="C23">
        <f t="shared" ref="C23:O23" si="0">AVERAGE(C3:C22)</f>
        <v>167.15</v>
      </c>
      <c r="D23">
        <f t="shared" si="0"/>
        <v>190.05</v>
      </c>
      <c r="E23">
        <f t="shared" si="0"/>
        <v>230.75</v>
      </c>
      <c r="F23">
        <f t="shared" si="0"/>
        <v>302.39999999999998</v>
      </c>
      <c r="G23">
        <f t="shared" si="0"/>
        <v>397.8</v>
      </c>
      <c r="H23">
        <f t="shared" si="0"/>
        <v>560.95000000000005</v>
      </c>
      <c r="I23">
        <f t="shared" si="0"/>
        <v>835.95</v>
      </c>
      <c r="J23">
        <f t="shared" si="0"/>
        <v>1278</v>
      </c>
      <c r="K23">
        <f t="shared" si="0"/>
        <v>2053.4</v>
      </c>
      <c r="L23">
        <f t="shared" si="0"/>
        <v>3295.9</v>
      </c>
      <c r="M23">
        <f t="shared" si="0"/>
        <v>5313.2</v>
      </c>
      <c r="N23">
        <f t="shared" si="0"/>
        <v>8734.6</v>
      </c>
      <c r="O23">
        <f t="shared" si="0"/>
        <v>13462.9</v>
      </c>
      <c r="P23" s="5" t="s">
        <v>20</v>
      </c>
    </row>
    <row r="24" spans="1:19" x14ac:dyDescent="0.2">
      <c r="A24" s="2" t="s">
        <v>18</v>
      </c>
      <c r="B24">
        <f>STDEV(B3:B23)</f>
        <v>15.463747928623254</v>
      </c>
      <c r="C24">
        <f t="shared" ref="C24:O24" si="1">STDEV(C3:C23)</f>
        <v>14.178416695809162</v>
      </c>
      <c r="D24">
        <f t="shared" si="1"/>
        <v>13.650915720199873</v>
      </c>
      <c r="E24">
        <f t="shared" si="1"/>
        <v>9.1261985514232595</v>
      </c>
      <c r="F24">
        <f t="shared" si="1"/>
        <v>15.65055909544448</v>
      </c>
      <c r="G24">
        <f t="shared" si="1"/>
        <v>14.918444959177213</v>
      </c>
      <c r="H24">
        <f t="shared" si="1"/>
        <v>20.177896322461365</v>
      </c>
      <c r="I24">
        <f t="shared" si="1"/>
        <v>20.424189090389856</v>
      </c>
      <c r="J24">
        <f t="shared" si="1"/>
        <v>25.630060475933334</v>
      </c>
      <c r="K24">
        <f t="shared" si="1"/>
        <v>29.81341979713163</v>
      </c>
      <c r="L24">
        <f t="shared" si="1"/>
        <v>42.361421128191623</v>
      </c>
      <c r="M24">
        <f t="shared" si="1"/>
        <v>80.157095755771991</v>
      </c>
      <c r="N24">
        <f t="shared" si="1"/>
        <v>86.250449274192192</v>
      </c>
      <c r="O24">
        <f t="shared" si="1"/>
        <v>122.16828557362996</v>
      </c>
      <c r="P24" s="5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Lampert, Frederik</dc:creator>
  <cp:lastModifiedBy>Lampert, Frederik</cp:lastModifiedBy>
  <dcterms:created xsi:type="dcterms:W3CDTF">2026-10-01T21:18:00Z</dcterms:created>
  <dcterms:modified xsi:type="dcterms:W3CDTF">2026-10-02T20:49:35Z</dcterms:modified>
</cp:coreProperties>
</file>